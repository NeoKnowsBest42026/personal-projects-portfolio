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 Budgeting" sheetId="1" r:id="rId5"/>
    <sheet state="visible" name="Immigration Expenses" sheetId="2" r:id="rId6"/>
    <sheet state="visible" name="IfThen Finances" sheetId="3" r:id="rId7"/>
  </sheets>
  <definedNames/>
  <calcPr/>
</workbook>
</file>

<file path=xl/sharedStrings.xml><?xml version="1.0" encoding="utf-8"?>
<sst xmlns="http://schemas.openxmlformats.org/spreadsheetml/2006/main" count="84" uniqueCount="75">
  <si>
    <t>Color Legend</t>
  </si>
  <si>
    <t>Immigration Prep Estimated Expenses</t>
  </si>
  <si>
    <t>Expense</t>
  </si>
  <si>
    <t>Income</t>
  </si>
  <si>
    <t>👉</t>
  </si>
  <si>
    <t>IF</t>
  </si>
  <si>
    <t>Sully income: $3074.50/mo. (if $21.50/hr, 33/wk)</t>
  </si>
  <si>
    <t>PER HOUR</t>
  </si>
  <si>
    <t>Est. Amount min.</t>
  </si>
  <si>
    <t>Sully 2nd income: $3,943.33/mo. (if $22.75/hr, 40/wk)</t>
  </si>
  <si>
    <t>Est. Amount max</t>
  </si>
  <si>
    <t>WEEKS PER YEAR</t>
  </si>
  <si>
    <t>Wellness Exam with USDA Vet</t>
  </si>
  <si>
    <t>MONTHS PER YEAR</t>
  </si>
  <si>
    <t>AND</t>
  </si>
  <si>
    <t>Dogs</t>
  </si>
  <si>
    <t>PER WEEK</t>
  </si>
  <si>
    <t>Tapeworm Treatment (at home)</t>
  </si>
  <si>
    <t>USDA paperwork/certification/admin</t>
  </si>
  <si>
    <t>GROSS PER WEEK</t>
  </si>
  <si>
    <t>Incomes</t>
  </si>
  <si>
    <t>THEN</t>
  </si>
  <si>
    <t>Sully</t>
  </si>
  <si>
    <t>Sully 2nd income</t>
  </si>
  <si>
    <t>Travel Carriers (soft-sided)</t>
  </si>
  <si>
    <t>GROSS PER MONTH</t>
  </si>
  <si>
    <t>GROSS PER YEAR</t>
  </si>
  <si>
    <t>Flight Transport Costs</t>
  </si>
  <si>
    <t>TBD</t>
  </si>
  <si>
    <t>🤑</t>
  </si>
  <si>
    <t>Sully first passport</t>
  </si>
  <si>
    <t>Travel Docs</t>
  </si>
  <si>
    <t>Kyler first passport</t>
  </si>
  <si>
    <t>Meds &amp; Medical</t>
  </si>
  <si>
    <t>Passport photos</t>
  </si>
  <si>
    <t>Oregon driver's license renewal</t>
  </si>
  <si>
    <t>Rent</t>
  </si>
  <si>
    <t>2 Large rolling suitcases</t>
  </si>
  <si>
    <t>Travel Transporation &amp; Housing</t>
  </si>
  <si>
    <t>Electric</t>
  </si>
  <si>
    <t>Shipping larger household goods</t>
  </si>
  <si>
    <t>Internet/phone</t>
  </si>
  <si>
    <t>Deposit on 1st rental home</t>
  </si>
  <si>
    <t>Est. Household Groceries</t>
  </si>
  <si>
    <t>1st Month's Rent</t>
  </si>
  <si>
    <t>Car Pymt + Insurance</t>
  </si>
  <si>
    <t xml:space="preserve">Initial Housing Accommodations </t>
  </si>
  <si>
    <t>👉 $500/paycheck  👉 Biweekly ($2000/mo.)</t>
  </si>
  <si>
    <t>That's $24,000 in 12 months time! 🤑🤑🤑🤑</t>
  </si>
  <si>
    <t>Est. Fuel</t>
  </si>
  <si>
    <t>👉 $892.83 Gross left over 👈</t>
  </si>
  <si>
    <t xml:space="preserve"> Dogs (Food &amp; Meds)</t>
  </si>
  <si>
    <t>Certs (over next 6-12 months)</t>
  </si>
  <si>
    <t xml:space="preserve"> Misc (Cannabis, etc.)</t>
  </si>
  <si>
    <t>Hulu + Spotify</t>
  </si>
  <si>
    <t>Certification</t>
  </si>
  <si>
    <t xml:space="preserve">Credit Card Payments </t>
  </si>
  <si>
    <t>Cost</t>
  </si>
  <si>
    <t>Date Taken</t>
  </si>
  <si>
    <t>Pass/Fail</t>
  </si>
  <si>
    <t>Relocation Funds</t>
  </si>
  <si>
    <t>Significance towards Ireland</t>
  </si>
  <si>
    <t>AZ-900 Microsoft Azure Fundamentals</t>
  </si>
  <si>
    <t>Monthly Total Est. Gross Leftover</t>
  </si>
  <si>
    <t>Extremely high</t>
  </si>
  <si>
    <t>Security+</t>
  </si>
  <si>
    <t>ITIL 4 Foundation</t>
  </si>
  <si>
    <t>$250.00 - $400.00</t>
  </si>
  <si>
    <t>Medium-High</t>
  </si>
  <si>
    <t>AWS Cloud Practitioner</t>
  </si>
  <si>
    <t>Medium</t>
  </si>
  <si>
    <t>Network+</t>
  </si>
  <si>
    <r>
      <rPr>
        <rFont val="Calibri"/>
        <color theme="1"/>
        <sz val="12.0"/>
      </rPr>
      <t>High</t>
    </r>
    <r>
      <rPr>
        <rFont val="Calibri"/>
        <b/>
        <color theme="1"/>
        <sz val="12.0"/>
      </rPr>
      <t>*</t>
    </r>
  </si>
  <si>
    <t>TOTAL</t>
  </si>
  <si>
    <t>*could be optional; not necessarily needed right away if at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</si>
</sst>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8">
    <font>
      <sz val="10.0"/>
      <color rgb="FF000000"/>
      <name val="Arial"/>
      <scheme val="minor"/>
    </font>
    <font>
      <color theme="1"/>
      <name val="Arial"/>
    </font>
    <font>
      <sz val="17.0"/>
      <color rgb="FFFFFFFF"/>
      <name val="Cabin Sketch"/>
    </font>
    <font/>
    <font>
      <b/>
      <sz val="14.0"/>
      <color theme="1"/>
      <name val="Calibri"/>
    </font>
    <font>
      <sz val="12.0"/>
      <color rgb="FFFFFFFF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27.0"/>
      <color theme="1"/>
      <name val="Calibri"/>
    </font>
    <font>
      <sz val="17.0"/>
      <color rgb="FF34A853"/>
      <name val="Cabin Sketch"/>
    </font>
    <font>
      <sz val="17.0"/>
      <color rgb="FFFF9900"/>
      <name val="Cabin Sketch"/>
    </font>
    <font>
      <sz val="17.0"/>
      <color theme="1"/>
      <name val="Cabin Sketch"/>
    </font>
    <font>
      <sz val="39.0"/>
      <color rgb="FFFFFFFF"/>
      <name val="Arial"/>
    </font>
    <font>
      <b/>
      <sz val="18.0"/>
      <color theme="1"/>
      <name val="Calibri"/>
    </font>
    <font>
      <sz val="16.0"/>
      <color rgb="FFFFFFFF"/>
      <name val="Cabin Sketch"/>
    </font>
    <font>
      <sz val="22.0"/>
      <color theme="1"/>
      <name val="Cabin Sketch"/>
    </font>
    <font>
      <b/>
      <sz val="16.0"/>
      <color theme="1"/>
      <name val="Calibri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45818E"/>
        <bgColor rgb="FF45818E"/>
      </patternFill>
    </fill>
  </fills>
  <borders count="28">
    <border/>
    <border>
      <left style="medium">
        <color rgb="FFFFFFFF"/>
      </left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B45F06"/>
      </left>
      <right style="thick">
        <color rgb="FFB45F06"/>
      </right>
      <top style="thick">
        <color rgb="FFB45F06"/>
      </top>
      <bottom style="thick">
        <color rgb="FFB45F06"/>
      </bottom>
    </border>
    <border>
      <left style="thick">
        <color rgb="FF000000"/>
      </left>
      <bottom style="thick">
        <color rgb="FF000000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990000"/>
      </left>
      <right style="thick">
        <color rgb="FF990000"/>
      </right>
      <top style="thick">
        <color rgb="FF990000"/>
      </top>
      <bottom style="thick">
        <color rgb="FF99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3" fillId="4" fontId="1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horizontal="center"/>
    </xf>
    <xf borderId="4" fillId="5" fontId="1" numFmtId="0" xfId="0" applyAlignment="1" applyBorder="1" applyFill="1" applyFont="1">
      <alignment vertical="bottom"/>
    </xf>
    <xf borderId="5" fillId="6" fontId="4" numFmtId="0" xfId="0" applyAlignment="1" applyBorder="1" applyFill="1" applyFont="1">
      <alignment horizontal="center" shrinkToFit="0" wrapText="1"/>
    </xf>
    <xf borderId="4" fillId="3" fontId="2" numFmtId="0" xfId="0" applyAlignment="1" applyBorder="1" applyFill="1" applyFont="1">
      <alignment horizontal="center"/>
    </xf>
    <xf borderId="6" fillId="6" fontId="3" numFmtId="0" xfId="0" applyBorder="1" applyFill="1" applyFont="1"/>
    <xf borderId="7" fillId="6" fontId="3" numFmtId="0" xfId="0" applyBorder="1" applyFill="1" applyFont="1"/>
    <xf borderId="0" fillId="2" fontId="5" numFmtId="0" xfId="0" applyAlignment="1" applyFill="1" applyFont="1">
      <alignment horizontal="right" vertical="bottom"/>
    </xf>
    <xf borderId="8" fillId="2" fontId="5" numFmtId="0" xfId="0" applyAlignment="1" applyBorder="1" applyFill="1" applyFont="1">
      <alignment horizontal="center"/>
    </xf>
    <xf borderId="9" fillId="2" fontId="5" numFmtId="164" xfId="0" applyAlignment="1" applyBorder="1" applyFill="1" applyFont="1" applyNumberFormat="1">
      <alignment horizontal="center"/>
    </xf>
    <xf borderId="10" fillId="3" fontId="2" numFmtId="0" xfId="0" applyAlignment="1" applyBorder="1" applyFill="1" applyFont="1">
      <alignment horizontal="center" shrinkToFit="0" vertical="bottom" wrapText="1"/>
    </xf>
    <xf borderId="12" fillId="0" fontId="3" numFmtId="0" xfId="0" applyBorder="1" applyFont="1"/>
    <xf borderId="11" fillId="2" fontId="5" numFmtId="0" xfId="0" applyAlignment="1" applyBorder="1" applyFill="1" applyFont="1">
      <alignment horizontal="center"/>
    </xf>
    <xf borderId="13" fillId="7" fontId="6" numFmtId="0" xfId="0" applyAlignment="1" applyBorder="1" applyFill="1" applyFont="1">
      <alignment horizontal="center"/>
    </xf>
    <xf borderId="14" fillId="2" fontId="5" numFmtId="0" xfId="0" applyAlignment="1" applyBorder="1" applyFill="1" applyFont="1">
      <alignment horizontal="center"/>
    </xf>
    <xf borderId="13" fillId="7" fontId="6" numFmtId="0" xfId="0" applyAlignment="1" applyBorder="1" applyFill="1" applyFont="1">
      <alignment horizontal="center" shrinkToFit="0" wrapText="1"/>
    </xf>
    <xf borderId="5" fillId="3" fontId="2" numFmtId="0" xfId="0" applyAlignment="1" applyBorder="1" applyFill="1" applyFont="1">
      <alignment horizontal="center" shrinkToFit="0" vertical="bottom" wrapText="1"/>
    </xf>
    <xf borderId="6" fillId="0" fontId="3" numFmtId="0" xfId="0" applyBorder="1" applyFont="1"/>
    <xf borderId="14" fillId="2" fontId="5" numFmtId="0" xfId="0" applyAlignment="1" applyBorder="1" applyFill="1" applyFont="1">
      <alignment horizontal="center" vertical="bottom"/>
    </xf>
    <xf borderId="16" fillId="2" fontId="1" numFmtId="0" xfId="0" applyAlignment="1" applyBorder="1" applyFill="1" applyFont="1">
      <alignment vertical="bottom"/>
    </xf>
    <xf borderId="17" fillId="8" fontId="7" numFmtId="0" xfId="0" applyAlignment="1" applyBorder="1" applyFill="1" applyFont="1">
      <alignment vertical="bottom"/>
    </xf>
    <xf borderId="15" fillId="2" fontId="1" numFmtId="0" xfId="0" applyBorder="1" applyFill="1" applyFont="1"/>
    <xf borderId="18" fillId="2" fontId="1" numFmtId="0" xfId="0" applyAlignment="1" applyBorder="1" applyFill="1" applyFont="1">
      <alignment vertical="bottom"/>
    </xf>
    <xf borderId="17" fillId="8" fontId="7" numFmtId="164" xfId="0" applyAlignment="1" applyBorder="1" applyFill="1" applyFont="1" applyNumberFormat="1">
      <alignment horizontal="center"/>
    </xf>
    <xf borderId="19" fillId="8" fontId="7" numFmtId="164" xfId="0" applyAlignment="1" applyBorder="1" applyFill="1" applyFont="1" applyNumberFormat="1">
      <alignment horizontal="center"/>
    </xf>
    <xf borderId="10" fillId="2" fontId="1" numFmtId="0" xfId="0" applyAlignment="1" applyBorder="1" applyFill="1" applyFont="1">
      <alignment vertical="bottom"/>
    </xf>
    <xf borderId="20" fillId="2" fontId="5" numFmtId="0" xfId="0" applyAlignment="1" applyBorder="1" applyFill="1" applyFont="1">
      <alignment horizontal="center"/>
    </xf>
    <xf borderId="12" fillId="2" fontId="1" numFmtId="0" xfId="0" applyAlignment="1" applyBorder="1" applyFill="1" applyFont="1">
      <alignment vertical="bottom"/>
    </xf>
    <xf borderId="16" fillId="8" fontId="8" numFmtId="0" xfId="0" applyAlignment="1" applyBorder="1" applyFill="1" applyFont="1">
      <alignment horizontal="center" textRotation="90" vertical="center"/>
    </xf>
    <xf borderId="21" fillId="8" fontId="3" numFmtId="0" xfId="0" applyBorder="1" applyFill="1" applyFont="1"/>
    <xf borderId="5" fillId="3" fontId="1" numFmtId="0" xfId="0" applyBorder="1" applyFill="1" applyFont="1"/>
    <xf borderId="7" fillId="0" fontId="3" numFmtId="0" xfId="0" applyBorder="1" applyFont="1"/>
    <xf borderId="17" fillId="7" fontId="7" numFmtId="0" xfId="0" applyAlignment="1" applyBorder="1" applyFill="1" applyFont="1">
      <alignment vertical="bottom"/>
    </xf>
    <xf borderId="17" fillId="7" fontId="7" numFmtId="164" xfId="0" applyAlignment="1" applyBorder="1" applyFill="1" applyFont="1" applyNumberFormat="1">
      <alignment horizontal="center"/>
    </xf>
    <xf borderId="6" fillId="9" fontId="1" numFmtId="10" xfId="0" applyBorder="1" applyFill="1" applyFont="1" applyNumberFormat="1"/>
    <xf borderId="19" fillId="7" fontId="7" numFmtId="164" xfId="0" applyAlignment="1" applyBorder="1" applyFill="1" applyFont="1" applyNumberFormat="1">
      <alignment horizontal="center"/>
    </xf>
    <xf borderId="22" fillId="7" fontId="3" numFmtId="0" xfId="0" applyBorder="1" applyFill="1" applyFont="1"/>
    <xf borderId="23" fillId="7" fontId="3" numFmtId="0" xfId="0" applyBorder="1" applyFill="1" applyFont="1"/>
    <xf borderId="24" fillId="2" fontId="1" numFmtId="164" xfId="0" applyBorder="1" applyFill="1" applyFont="1" applyNumberFormat="1"/>
    <xf borderId="0" fillId="8" fontId="1" numFmtId="0" xfId="0" applyAlignment="1" applyFill="1" applyFont="1">
      <alignment vertical="bottom"/>
    </xf>
    <xf borderId="14" fillId="2" fontId="5" numFmtId="164" xfId="0" applyAlignment="1" applyBorder="1" applyFill="1" applyFont="1" applyNumberFormat="1">
      <alignment horizontal="center"/>
    </xf>
    <xf borderId="22" fillId="8" fontId="3" numFmtId="0" xfId="0" applyBorder="1" applyFill="1" applyFont="1"/>
    <xf borderId="23" fillId="8" fontId="3" numFmtId="0" xfId="0" applyBorder="1" applyFill="1" applyFont="1"/>
    <xf borderId="16" fillId="3" fontId="2" numFmtId="0" xfId="0" applyAlignment="1" applyBorder="1" applyFill="1" applyFont="1">
      <alignment horizontal="center" textRotation="0" vertical="center"/>
    </xf>
    <xf borderId="21" fillId="0" fontId="3" numFmtId="0" xfId="0" applyBorder="1" applyFont="1"/>
    <xf borderId="24" fillId="3" fontId="9" numFmtId="0" xfId="0" applyAlignment="1" applyBorder="1" applyFill="1" applyFont="1">
      <alignment horizontal="center"/>
    </xf>
    <xf borderId="24" fillId="3" fontId="10" numFmtId="0" xfId="0" applyAlignment="1" applyBorder="1" applyFill="1" applyFont="1">
      <alignment horizontal="center" shrinkToFit="0" wrapText="1"/>
    </xf>
    <xf borderId="25" fillId="2" fontId="5" numFmtId="164" xfId="0" applyAlignment="1" applyBorder="1" applyFill="1" applyFont="1" applyNumberFormat="1">
      <alignment horizontal="center"/>
    </xf>
    <xf borderId="24" fillId="2" fontId="1" numFmtId="0" xfId="0" applyBorder="1" applyFill="1" applyFont="1"/>
    <xf borderId="10" fillId="0" fontId="3" numFmtId="0" xfId="0" applyBorder="1" applyFont="1"/>
    <xf borderId="26" fillId="0" fontId="3" numFmtId="0" xfId="0" applyBorder="1" applyFont="1"/>
    <xf borderId="10" fillId="8" fontId="3" numFmtId="0" xfId="0" applyBorder="1" applyFill="1" applyFont="1"/>
    <xf borderId="26" fillId="8" fontId="3" numFmtId="0" xfId="0" applyBorder="1" applyFill="1" applyFont="1"/>
    <xf borderId="24" fillId="5" fontId="11" numFmtId="164" xfId="0" applyAlignment="1" applyBorder="1" applyFill="1" applyFont="1" applyNumberFormat="1">
      <alignment horizontal="center"/>
    </xf>
    <xf borderId="0" fillId="2" fontId="12" numFmtId="0" xfId="0" applyAlignment="1" applyFill="1" applyFont="1">
      <alignment horizontal="center"/>
    </xf>
    <xf borderId="24" fillId="5" fontId="11" numFmtId="164" xfId="0" applyAlignment="1" applyBorder="1" applyFill="1" applyFont="1" applyNumberFormat="1">
      <alignment horizontal="center"/>
    </xf>
    <xf borderId="18" fillId="2" fontId="1" numFmtId="10" xfId="0" applyBorder="1" applyFill="1" applyFont="1" applyNumberFormat="1"/>
    <xf borderId="16" fillId="7" fontId="8" numFmtId="0" xfId="0" applyAlignment="1" applyBorder="1" applyFill="1" applyFont="1">
      <alignment horizontal="center" shrinkToFit="0" textRotation="90" vertical="center" wrapText="1"/>
    </xf>
    <xf borderId="21" fillId="2" fontId="1" numFmtId="10" xfId="0" applyBorder="1" applyFill="1" applyFont="1" applyNumberFormat="1"/>
    <xf borderId="21" fillId="7" fontId="3" numFmtId="0" xfId="0" applyBorder="1" applyFill="1" applyFont="1"/>
    <xf borderId="24" fillId="2" fontId="1" numFmtId="0" xfId="0" applyAlignment="1" applyBorder="1" applyFill="1" applyFont="1">
      <alignment vertical="bottom"/>
    </xf>
    <xf borderId="0" fillId="2" fontId="1" numFmtId="10" xfId="0" applyFill="1" applyFont="1" applyNumberFormat="1"/>
    <xf borderId="23" fillId="2" fontId="1" numFmtId="10" xfId="0" applyBorder="1" applyFill="1" applyFont="1" applyNumberFormat="1"/>
    <xf borderId="5" fillId="3" fontId="2" numFmtId="0" xfId="0" applyAlignment="1" applyBorder="1" applyFill="1" applyFont="1">
      <alignment horizontal="center"/>
    </xf>
    <xf borderId="24" fillId="4" fontId="1" numFmtId="164" xfId="0" applyAlignment="1" applyBorder="1" applyFill="1" applyFont="1" applyNumberFormat="1">
      <alignment vertical="bottom"/>
    </xf>
    <xf borderId="24" fillId="4" fontId="11" numFmtId="164" xfId="0" applyAlignment="1" applyBorder="1" applyFill="1" applyFont="1" applyNumberFormat="1">
      <alignment horizontal="center" vertical="bottom"/>
    </xf>
    <xf borderId="22" fillId="7" fontId="13" numFmtId="0" xfId="0" applyAlignment="1" applyBorder="1" applyFill="1" applyFont="1">
      <alignment horizontal="center" shrinkToFit="0" textRotation="90" vertical="center" wrapText="1"/>
    </xf>
    <xf borderId="0" fillId="8" fontId="7" numFmtId="164" xfId="0" applyAlignment="1" applyFill="1" applyFont="1" applyNumberFormat="1">
      <alignment horizontal="center"/>
    </xf>
    <xf borderId="24" fillId="4" fontId="11" numFmtId="164" xfId="0" applyAlignment="1" applyBorder="1" applyFill="1" applyFont="1" applyNumberFormat="1">
      <alignment horizontal="center"/>
    </xf>
    <xf borderId="8" fillId="3" fontId="14" numFmtId="0" xfId="0" applyAlignment="1" applyBorder="1" applyFill="1" applyFont="1">
      <alignment horizontal="center" readingOrder="0" shrinkToFit="0" wrapText="1"/>
    </xf>
    <xf borderId="10" fillId="7" fontId="3" numFmtId="0" xfId="0" applyBorder="1" applyFill="1" applyFont="1"/>
    <xf borderId="26" fillId="7" fontId="3" numFmtId="0" xfId="0" applyBorder="1" applyFill="1" applyFont="1"/>
    <xf borderId="11" fillId="3" fontId="14" numFmtId="0" xfId="0" applyAlignment="1" applyBorder="1" applyFill="1" applyFont="1">
      <alignment horizontal="center" shrinkToFit="0" wrapText="1"/>
    </xf>
    <xf borderId="8" fillId="5" fontId="15" numFmtId="164" xfId="0" applyAlignment="1" applyBorder="1" applyFill="1" applyFont="1" applyNumberFormat="1">
      <alignment horizontal="center" shrinkToFit="0" vertical="center" wrapText="1"/>
    </xf>
    <xf borderId="11" fillId="0" fontId="3" numFmtId="0" xfId="0" applyBorder="1" applyFont="1"/>
    <xf borderId="16" fillId="7" fontId="16" numFmtId="0" xfId="0" applyAlignment="1" applyBorder="1" applyFill="1" applyFont="1">
      <alignment horizontal="center"/>
    </xf>
    <xf borderId="18" fillId="7" fontId="3" numFmtId="0" xfId="0" applyBorder="1" applyFill="1" applyFont="1"/>
    <xf borderId="17" fillId="8" fontId="16" numFmtId="0" xfId="0" applyAlignment="1" applyBorder="1" applyFill="1" applyFont="1">
      <alignment horizontal="center"/>
    </xf>
    <xf borderId="17" fillId="8" fontId="16" numFmtId="0" xfId="0" applyAlignment="1" applyBorder="1" applyFill="1" applyFont="1">
      <alignment horizontal="center" shrinkToFit="0" wrapText="1"/>
    </xf>
    <xf borderId="5" fillId="5" fontId="11" numFmtId="164" xfId="0" applyAlignment="1" applyBorder="1" applyFill="1" applyFont="1" applyNumberFormat="1">
      <alignment horizontal="center"/>
    </xf>
    <xf borderId="17" fillId="7" fontId="7" numFmtId="164" xfId="0" applyAlignment="1" applyBorder="1" applyFill="1" applyFont="1" applyNumberFormat="1">
      <alignment horizontal="center" shrinkToFit="0" wrapText="1"/>
    </xf>
    <xf borderId="5" fillId="3" fontId="2" numFmtId="0" xfId="0" applyAlignment="1" applyBorder="1" applyFill="1" applyFont="1">
      <alignment horizontal="center" shrinkToFit="0" wrapText="1"/>
    </xf>
    <xf borderId="17" fillId="7" fontId="1" numFmtId="0" xfId="0" applyBorder="1" applyFill="1" applyFont="1"/>
    <xf borderId="17" fillId="7" fontId="7" numFmtId="0" xfId="0" applyAlignment="1" applyBorder="1" applyFill="1" applyFont="1">
      <alignment horizontal="center"/>
    </xf>
    <xf borderId="17" fillId="8" fontId="7" numFmtId="164" xfId="0" applyAlignment="1" applyBorder="1" applyFill="1" applyFont="1" applyNumberFormat="1">
      <alignment horizontal="center" shrinkToFit="0" wrapText="1"/>
    </xf>
    <xf borderId="17" fillId="8" fontId="1" numFmtId="0" xfId="0" applyBorder="1" applyFill="1" applyFont="1"/>
    <xf borderId="24" fillId="5" fontId="11" numFmtId="164" xfId="0" applyAlignment="1" applyBorder="1" applyFill="1" applyFont="1" applyNumberFormat="1">
      <alignment horizontal="center" vertical="center"/>
    </xf>
    <xf borderId="17" fillId="8" fontId="7" numFmtId="0" xfId="0" applyAlignment="1" applyBorder="1" applyFill="1" applyFont="1">
      <alignment horizontal="center"/>
    </xf>
    <xf borderId="27" fillId="7" fontId="7" numFmtId="164" xfId="0" applyAlignment="1" applyBorder="1" applyFill="1" applyFont="1" applyNumberFormat="1">
      <alignment horizontal="center" shrinkToFit="0" wrapText="1"/>
    </xf>
    <xf borderId="27" fillId="7" fontId="7" numFmtId="164" xfId="0" applyAlignment="1" applyBorder="1" applyFill="1" applyFont="1" applyNumberFormat="1">
      <alignment horizontal="center"/>
    </xf>
    <xf borderId="24" fillId="8" fontId="4" numFmtId="0" xfId="0" applyAlignment="1" applyBorder="1" applyFill="1" applyFont="1">
      <alignment horizontal="right" shrinkToFit="0" wrapText="1"/>
    </xf>
    <xf borderId="24" fillId="8" fontId="4" numFmtId="164" xfId="0" applyAlignment="1" applyBorder="1" applyFill="1" applyFont="1" applyNumberFormat="1">
      <alignment horizontal="right" shrinkToFit="0" wrapText="1"/>
    </xf>
    <xf borderId="0" fillId="7" fontId="17" numFmtId="0" xfId="0" applyAlignment="1" applyFill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14.63"/>
    <col customWidth="1" min="7" max="7" width="7.0"/>
    <col customWidth="1" min="8" max="8" width="24.88"/>
    <col customWidth="1" min="9" max="9" width="18.5"/>
  </cols>
  <sheetData>
    <row r="1">
      <c r="A1" s="1"/>
      <c r="B1" s="2" t="s">
        <v>0</v>
      </c>
      <c r="C1" s="3"/>
      <c r="D1" s="1"/>
      <c r="E1" s="1"/>
      <c r="F1" s="1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1"/>
      <c r="D2" s="1"/>
      <c r="E2" s="1"/>
      <c r="F2" s="1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4"/>
      <c r="C3" s="1"/>
      <c r="D3" s="1"/>
      <c r="E3" s="1"/>
      <c r="F3" s="1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6"/>
      <c r="C4" s="7" t="s">
        <v>2</v>
      </c>
      <c r="D4" s="1"/>
      <c r="E4" s="1"/>
      <c r="F4" s="1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8"/>
      <c r="C5" s="10" t="s">
        <v>3</v>
      </c>
      <c r="D5" s="1"/>
      <c r="E5" s="1"/>
      <c r="F5" s="1"/>
      <c r="G5" s="4"/>
      <c r="H5" s="4"/>
      <c r="I5" s="4"/>
      <c r="J5" s="4"/>
      <c r="K5" s="4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1"/>
      <c r="C6" s="1"/>
      <c r="D6" s="1"/>
      <c r="E6" s="1"/>
      <c r="F6" s="1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1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16" t="s">
        <v>6</v>
      </c>
      <c r="C8" s="17"/>
      <c r="D8" s="17"/>
      <c r="E8" s="17"/>
      <c r="F8" s="1"/>
      <c r="G8" s="4"/>
      <c r="H8" s="4"/>
      <c r="I8" s="4"/>
      <c r="J8" s="4"/>
      <c r="K8" s="4"/>
      <c r="L8" s="4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2" t="s">
        <v>9</v>
      </c>
      <c r="C9" s="23"/>
      <c r="D9" s="23"/>
      <c r="E9" s="23"/>
      <c r="F9" s="1"/>
      <c r="G9" s="4"/>
      <c r="H9" s="4"/>
      <c r="I9" s="4"/>
      <c r="J9" s="4"/>
      <c r="K9" s="4"/>
      <c r="L9" s="4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5"/>
      <c r="C10" s="28"/>
      <c r="D10" s="28"/>
      <c r="E10" s="28"/>
      <c r="F10" s="1"/>
      <c r="G10" s="4"/>
      <c r="H10" s="4"/>
      <c r="I10" s="4"/>
      <c r="J10" s="4"/>
      <c r="K10" s="4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31"/>
      <c r="C11" s="33"/>
      <c r="D11" s="33"/>
      <c r="E11" s="33"/>
      <c r="F11" s="1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36"/>
      <c r="C12" s="37"/>
      <c r="D12" s="40"/>
      <c r="E12" s="37"/>
      <c r="F12" s="28"/>
      <c r="G12" s="4"/>
      <c r="H12" s="4"/>
      <c r="I12" s="4"/>
      <c r="J12" s="4"/>
      <c r="K12" s="4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44"/>
      <c r="C13" s="4"/>
      <c r="D13" s="4"/>
      <c r="E13" s="4"/>
      <c r="F13" s="33"/>
      <c r="G13" s="4"/>
      <c r="H13" s="4"/>
      <c r="I13" s="4"/>
      <c r="J13" s="4"/>
      <c r="K13" s="4"/>
      <c r="L13" s="4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49" t="s">
        <v>20</v>
      </c>
      <c r="C14" s="50"/>
      <c r="D14" s="51" t="s">
        <v>22</v>
      </c>
      <c r="E14" s="52" t="s">
        <v>23</v>
      </c>
      <c r="F14" s="54"/>
      <c r="G14" s="4"/>
      <c r="H14" s="4"/>
      <c r="I14" s="4"/>
      <c r="J14" s="4"/>
      <c r="K14" s="4"/>
      <c r="L14" s="4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55"/>
      <c r="C15" s="56"/>
      <c r="D15" s="59">
        <v>3074.5</v>
      </c>
      <c r="E15" s="61">
        <v>3943.33</v>
      </c>
      <c r="F15" s="44"/>
      <c r="G15" s="4"/>
      <c r="H15" s="4"/>
      <c r="I15" s="4"/>
      <c r="J15" s="4"/>
      <c r="K15" s="4"/>
      <c r="L15" s="4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44"/>
      <c r="C16" s="44"/>
      <c r="D16" s="62"/>
      <c r="E16" s="64"/>
      <c r="F16" s="44"/>
      <c r="G16" s="4"/>
      <c r="H16" s="4"/>
      <c r="I16" s="4"/>
      <c r="J16" s="4"/>
      <c r="K16" s="4"/>
      <c r="L16" s="4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66"/>
      <c r="C17" s="66"/>
      <c r="D17" s="67"/>
      <c r="E17" s="68"/>
      <c r="F17" s="44"/>
      <c r="G17" s="4"/>
      <c r="H17" s="4"/>
      <c r="I17" s="4"/>
      <c r="J17" s="4"/>
      <c r="K17" s="4"/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69" t="s">
        <v>33</v>
      </c>
      <c r="C18" s="37"/>
      <c r="D18" s="70"/>
      <c r="E18" s="70"/>
      <c r="F18" s="44"/>
      <c r="G18" s="4"/>
      <c r="H18" s="4"/>
      <c r="I18" s="4"/>
      <c r="J18" s="4"/>
      <c r="K18" s="4"/>
      <c r="L18" s="4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69" t="s">
        <v>36</v>
      </c>
      <c r="C19" s="37"/>
      <c r="D19" s="71">
        <v>887.5</v>
      </c>
      <c r="E19" s="71">
        <v>887.5</v>
      </c>
      <c r="F19" s="44"/>
      <c r="G19" s="4"/>
      <c r="H19" s="4"/>
      <c r="I19" s="4"/>
      <c r="J19" s="4"/>
      <c r="K19" s="4"/>
      <c r="L19" s="4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69" t="s">
        <v>39</v>
      </c>
      <c r="C20" s="37"/>
      <c r="D20" s="71">
        <v>112.5</v>
      </c>
      <c r="E20" s="71">
        <v>112.5</v>
      </c>
      <c r="F20" s="44"/>
      <c r="G20" s="4"/>
      <c r="H20" s="4"/>
      <c r="I20" s="4"/>
      <c r="J20" s="4"/>
      <c r="K20" s="4"/>
      <c r="L20" s="4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/>
      <c r="B21" s="69" t="s">
        <v>41</v>
      </c>
      <c r="C21" s="37"/>
      <c r="D21" s="71">
        <v>100.0</v>
      </c>
      <c r="E21" s="71">
        <v>100.0</v>
      </c>
      <c r="F21" s="4"/>
      <c r="G21" s="4"/>
      <c r="H21" s="4"/>
      <c r="I21" s="4"/>
      <c r="J21" s="4"/>
      <c r="K21" s="4"/>
      <c r="L21" s="4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/>
      <c r="B22" s="69" t="s">
        <v>43</v>
      </c>
      <c r="C22" s="37"/>
      <c r="D22" s="74">
        <v>221.0</v>
      </c>
      <c r="E22" s="74">
        <v>221.0</v>
      </c>
      <c r="G22" s="4"/>
      <c r="H22" s="4"/>
      <c r="I22" s="4"/>
      <c r="J22" s="4"/>
      <c r="K22" s="4"/>
      <c r="L22" s="4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/>
      <c r="B23" s="69" t="s">
        <v>45</v>
      </c>
      <c r="C23" s="37"/>
      <c r="D23" s="74">
        <v>325.0</v>
      </c>
      <c r="E23" s="74">
        <v>325.0</v>
      </c>
      <c r="F23" s="4"/>
      <c r="G23" s="4"/>
      <c r="H23" s="75" t="s">
        <v>47</v>
      </c>
      <c r="I23" s="78" t="s">
        <v>48</v>
      </c>
      <c r="J23" s="4"/>
      <c r="K23" s="4"/>
      <c r="L23" s="4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/>
      <c r="B24" s="69" t="s">
        <v>49</v>
      </c>
      <c r="C24" s="37"/>
      <c r="D24" s="71">
        <v>100.0</v>
      </c>
      <c r="E24" s="71">
        <v>100.0</v>
      </c>
      <c r="G24" s="4"/>
      <c r="H24" s="79" t="s">
        <v>50</v>
      </c>
      <c r="I24" s="80"/>
      <c r="J24" s="4"/>
      <c r="K24" s="4"/>
      <c r="L24" s="4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/>
      <c r="B25" s="69" t="s">
        <v>51</v>
      </c>
      <c r="C25" s="37"/>
      <c r="D25" s="71">
        <v>30.0</v>
      </c>
      <c r="E25" s="71">
        <v>30.0</v>
      </c>
      <c r="F25" s="4"/>
      <c r="G25" s="4"/>
      <c r="H25" s="4"/>
      <c r="I25" s="4"/>
      <c r="J25" s="4"/>
      <c r="K25" s="4"/>
      <c r="L25" s="4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/>
      <c r="B26" s="69" t="s">
        <v>53</v>
      </c>
      <c r="C26" s="37"/>
      <c r="D26" s="71">
        <v>125.0</v>
      </c>
      <c r="E26" s="71">
        <v>125.0</v>
      </c>
      <c r="G26" s="4"/>
      <c r="H26" s="4"/>
      <c r="I26" s="4"/>
      <c r="J26" s="4"/>
      <c r="K26" s="4"/>
      <c r="L26" s="4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/>
      <c r="B27" s="69" t="s">
        <v>54</v>
      </c>
      <c r="C27" s="37"/>
      <c r="D27" s="71">
        <v>11.5</v>
      </c>
      <c r="E27" s="71">
        <v>11.5</v>
      </c>
      <c r="F27" s="4"/>
      <c r="G27" s="4"/>
      <c r="H27" s="4"/>
      <c r="I27" s="4"/>
      <c r="J27" s="4"/>
      <c r="K27" s="4"/>
      <c r="L27" s="4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/>
      <c r="B28" s="69" t="s">
        <v>56</v>
      </c>
      <c r="C28" s="37"/>
      <c r="D28" s="71">
        <v>150.0</v>
      </c>
      <c r="E28" s="71">
        <v>150.0</v>
      </c>
      <c r="G28" s="4"/>
      <c r="H28" s="4"/>
      <c r="I28" s="4"/>
      <c r="J28" s="4"/>
      <c r="K28" s="4"/>
      <c r="L28" s="4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/>
      <c r="B29" s="69" t="s">
        <v>60</v>
      </c>
      <c r="C29" s="37"/>
      <c r="D29" s="61">
        <v>1000.0</v>
      </c>
      <c r="E29" s="85">
        <v>1000.0</v>
      </c>
      <c r="F29" s="4"/>
      <c r="G29" s="4"/>
      <c r="H29" s="4"/>
      <c r="I29" s="4"/>
      <c r="J29" s="4"/>
      <c r="K29" s="4"/>
      <c r="L29" s="4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/>
      <c r="B31" s="87" t="s">
        <v>63</v>
      </c>
      <c r="C31" s="37"/>
      <c r="D31" s="92">
        <f t="shared" ref="D31:E31" si="1">D15-SUM(D19:D29)</f>
        <v>12</v>
      </c>
      <c r="E31" s="92">
        <f t="shared" si="1"/>
        <v>880.83</v>
      </c>
      <c r="F31" s="4"/>
      <c r="G31" s="4"/>
      <c r="H31" s="4"/>
      <c r="I31" s="4"/>
      <c r="J31" s="4"/>
      <c r="K31" s="4"/>
      <c r="L31" s="4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</sheetData>
  <mergeCells count="26">
    <mergeCell ref="B1:C1"/>
    <mergeCell ref="B2:C2"/>
    <mergeCell ref="B7:C7"/>
    <mergeCell ref="B8:E8"/>
    <mergeCell ref="B9:E9"/>
    <mergeCell ref="B12:C12"/>
    <mergeCell ref="D12:E12"/>
    <mergeCell ref="F21:F22"/>
    <mergeCell ref="F23:F24"/>
    <mergeCell ref="H24:I24"/>
    <mergeCell ref="F25:F26"/>
    <mergeCell ref="F27:F28"/>
    <mergeCell ref="B24:C24"/>
    <mergeCell ref="B25:C25"/>
    <mergeCell ref="B26:C26"/>
    <mergeCell ref="B27:C27"/>
    <mergeCell ref="B28:C28"/>
    <mergeCell ref="B29:C29"/>
    <mergeCell ref="B31:C31"/>
    <mergeCell ref="B14:C15"/>
    <mergeCell ref="B18:C18"/>
    <mergeCell ref="B19:C19"/>
    <mergeCell ref="B20:C20"/>
    <mergeCell ref="B21:C21"/>
    <mergeCell ref="B22:C22"/>
    <mergeCell ref="B23:C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3" max="3" width="15.13"/>
    <col customWidth="1" min="4" max="4" width="17.63"/>
    <col customWidth="1" min="5" max="5" width="17.0"/>
  </cols>
  <sheetData>
    <row r="1">
      <c r="A1" s="9" t="s">
        <v>1</v>
      </c>
      <c r="B1" s="11"/>
      <c r="C1" s="12"/>
      <c r="D1" s="1"/>
      <c r="E1" s="1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9" t="s">
        <v>2</v>
      </c>
      <c r="B2" s="21" t="s">
        <v>8</v>
      </c>
      <c r="C2" s="21" t="s">
        <v>10</v>
      </c>
      <c r="D2" s="1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6" t="s">
        <v>12</v>
      </c>
      <c r="B3" s="29">
        <v>150.0</v>
      </c>
      <c r="C3" s="30">
        <v>250.0</v>
      </c>
      <c r="D3" s="34" t="s">
        <v>15</v>
      </c>
      <c r="E3" s="35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8" t="s">
        <v>17</v>
      </c>
      <c r="B4" s="39">
        <v>50.0</v>
      </c>
      <c r="C4" s="41">
        <v>150.0</v>
      </c>
      <c r="D4" s="42"/>
      <c r="E4" s="43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5" t="s">
        <v>18</v>
      </c>
      <c r="B5" s="29">
        <v>100.0</v>
      </c>
      <c r="C5" s="30">
        <v>250.0</v>
      </c>
      <c r="D5" s="47"/>
      <c r="E5" s="48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8" t="s">
        <v>24</v>
      </c>
      <c r="B6" s="39">
        <v>200.0</v>
      </c>
      <c r="C6" s="41">
        <v>500.0</v>
      </c>
      <c r="D6" s="42"/>
      <c r="E6" s="43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6" t="s">
        <v>27</v>
      </c>
      <c r="B7" s="29" t="s">
        <v>28</v>
      </c>
      <c r="C7" s="30" t="s">
        <v>28</v>
      </c>
      <c r="D7" s="57"/>
      <c r="E7" s="58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8" t="s">
        <v>30</v>
      </c>
      <c r="B8" s="39">
        <v>165.0</v>
      </c>
      <c r="C8" s="41">
        <v>165.0</v>
      </c>
      <c r="D8" s="63" t="s">
        <v>31</v>
      </c>
      <c r="E8" s="65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6" t="s">
        <v>32</v>
      </c>
      <c r="B9" s="29">
        <v>165.0</v>
      </c>
      <c r="C9" s="30">
        <v>165.0</v>
      </c>
      <c r="D9" s="47"/>
      <c r="E9" s="48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8" t="s">
        <v>34</v>
      </c>
      <c r="B10" s="39">
        <v>30.0</v>
      </c>
      <c r="C10" s="41">
        <v>40.0</v>
      </c>
      <c r="D10" s="42"/>
      <c r="E10" s="43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6" t="s">
        <v>35</v>
      </c>
      <c r="B11" s="29">
        <v>64.0</v>
      </c>
      <c r="C11" s="30">
        <v>75.0</v>
      </c>
      <c r="D11" s="57"/>
      <c r="E11" s="58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8" t="s">
        <v>37</v>
      </c>
      <c r="B12" s="39">
        <v>150.0</v>
      </c>
      <c r="C12" s="41">
        <v>300.0</v>
      </c>
      <c r="D12" s="72" t="s">
        <v>38</v>
      </c>
      <c r="E12" s="43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6" t="s">
        <v>40</v>
      </c>
      <c r="B13" s="73">
        <v>140.0</v>
      </c>
      <c r="C13" s="30">
        <v>270.0</v>
      </c>
      <c r="D13" s="47"/>
      <c r="E13" s="48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8" t="s">
        <v>42</v>
      </c>
      <c r="B14" s="39">
        <v>1170.0</v>
      </c>
      <c r="C14" s="41">
        <v>1750.0</v>
      </c>
      <c r="D14" s="42"/>
      <c r="E14" s="43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6" t="s">
        <v>44</v>
      </c>
      <c r="B15" s="29">
        <v>1170.0</v>
      </c>
      <c r="C15" s="30">
        <v>1750.0</v>
      </c>
      <c r="D15" s="47"/>
      <c r="E15" s="48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6.75" customHeight="1">
      <c r="A16" s="38" t="s">
        <v>46</v>
      </c>
      <c r="B16" s="39">
        <v>4000.0</v>
      </c>
      <c r="C16" s="41">
        <v>7000.0</v>
      </c>
      <c r="D16" s="76"/>
      <c r="E16" s="77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4"/>
      <c r="C17" s="4"/>
      <c r="D17" s="1"/>
      <c r="E17" s="1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1" t="s">
        <v>52</v>
      </c>
      <c r="B18" s="82"/>
      <c r="C18" s="82"/>
      <c r="D18" s="82"/>
      <c r="E18" s="65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3" t="s">
        <v>55</v>
      </c>
      <c r="B19" s="83" t="s">
        <v>57</v>
      </c>
      <c r="C19" s="83" t="s">
        <v>58</v>
      </c>
      <c r="D19" s="83" t="s">
        <v>59</v>
      </c>
      <c r="E19" s="84" t="s">
        <v>61</v>
      </c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6" t="s">
        <v>62</v>
      </c>
      <c r="B20" s="39">
        <v>99.0</v>
      </c>
      <c r="C20" s="88"/>
      <c r="D20" s="88"/>
      <c r="E20" s="89" t="s">
        <v>64</v>
      </c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0" t="s">
        <v>65</v>
      </c>
      <c r="B21" s="29">
        <v>400.0</v>
      </c>
      <c r="C21" s="91"/>
      <c r="D21" s="91"/>
      <c r="E21" s="93" t="s">
        <v>64</v>
      </c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6" t="s">
        <v>66</v>
      </c>
      <c r="B22" s="86" t="s">
        <v>67</v>
      </c>
      <c r="C22" s="88"/>
      <c r="D22" s="88"/>
      <c r="E22" s="89" t="s">
        <v>68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0" t="s">
        <v>69</v>
      </c>
      <c r="B23" s="29">
        <v>250.0</v>
      </c>
      <c r="C23" s="91"/>
      <c r="D23" s="91"/>
      <c r="E23" s="93" t="s">
        <v>70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4" t="s">
        <v>71</v>
      </c>
      <c r="B24" s="95">
        <v>369.0</v>
      </c>
      <c r="C24" s="88"/>
      <c r="D24" s="88"/>
      <c r="E24" s="89" t="s">
        <v>72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6" t="s">
        <v>73</v>
      </c>
      <c r="B25" s="97">
        <f>SUM(B20:B24)</f>
        <v>1118</v>
      </c>
      <c r="C25" s="91"/>
      <c r="D25" s="91"/>
      <c r="E25" s="91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8" t="s">
        <v>74</v>
      </c>
      <c r="C26" s="88"/>
      <c r="D26" s="88"/>
      <c r="E26" s="88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7">
    <mergeCell ref="A1:C1"/>
    <mergeCell ref="D2:E2"/>
    <mergeCell ref="D3:E7"/>
    <mergeCell ref="D8:E11"/>
    <mergeCell ref="D12:E16"/>
    <mergeCell ref="A18:E18"/>
    <mergeCell ref="A26:B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 t="s">
        <v>4</v>
      </c>
      <c r="B4" s="14" t="s">
        <v>5</v>
      </c>
      <c r="C4" s="15">
        <v>24.0</v>
      </c>
      <c r="D4" s="18" t="s">
        <v>7</v>
      </c>
      <c r="E4" s="13" t="s">
        <v>4</v>
      </c>
      <c r="F4" s="20">
        <v>52.0</v>
      </c>
      <c r="G4" s="24" t="s">
        <v>11</v>
      </c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/>
      <c r="B5" s="27"/>
      <c r="C5" s="1"/>
      <c r="D5" s="27"/>
      <c r="E5" s="13" t="s">
        <v>4</v>
      </c>
      <c r="F5" s="20">
        <v>12.0</v>
      </c>
      <c r="G5" s="20" t="s">
        <v>13</v>
      </c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4</v>
      </c>
      <c r="B6" s="14" t="s">
        <v>14</v>
      </c>
      <c r="C6" s="32">
        <v>40.0</v>
      </c>
      <c r="D6" s="18" t="s">
        <v>16</v>
      </c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/>
      <c r="B7" s="27"/>
      <c r="C7" s="1"/>
      <c r="D7" s="27"/>
      <c r="E7" s="13" t="s">
        <v>4</v>
      </c>
      <c r="F7" s="46">
        <f>C4*C6</f>
        <v>960</v>
      </c>
      <c r="G7" s="20" t="s">
        <v>19</v>
      </c>
      <c r="H7" s="4"/>
      <c r="I7" s="4"/>
      <c r="J7" s="4"/>
      <c r="K7" s="4"/>
      <c r="L7" s="4"/>
      <c r="M7" s="4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4</v>
      </c>
      <c r="B8" s="14" t="s">
        <v>21</v>
      </c>
      <c r="C8" s="53">
        <f>F8/F5</f>
        <v>4160</v>
      </c>
      <c r="D8" s="18" t="s">
        <v>25</v>
      </c>
      <c r="E8" s="13" t="s">
        <v>4</v>
      </c>
      <c r="F8" s="46">
        <f>F7*F4</f>
        <v>49920</v>
      </c>
      <c r="G8" s="20" t="s">
        <v>26</v>
      </c>
      <c r="H8" s="4"/>
      <c r="I8" s="4"/>
      <c r="J8" s="4"/>
      <c r="K8" s="4"/>
      <c r="L8" s="4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/>
      <c r="B9" s="4"/>
      <c r="C9" s="60" t="s">
        <v>29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